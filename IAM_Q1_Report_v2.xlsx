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Team Composition" sheetId="1" state="visible" r:id="rId3"/>
    <sheet name="2-Project Delivery" sheetId="2" state="visible" r:id="rId4"/>
    <sheet name="3-Planning &amp; Ownership" sheetId="3" state="visible" r:id="rId5"/>
    <sheet name="4-Defects &amp; Issues" sheetId="4" state="visible" r:id="rId6"/>
    <sheet name="5-Request Fulfillment" sheetId="5" state="visible" r:id="rId7"/>
    <sheet name="6-Workload Distribution" sheetId="6" state="visible" r:id="rId8"/>
    <sheet name="7-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<sst xmlns="http://schemas.openxmlformats.org/spreadsheetml/2006/main" count="144" uniqueCount="88">
  <si>
    <t xml:space="preserve">Offshore IAM Productivity Metric – Q1 | Team Composition</t>
  </si>
  <si>
    <t xml:space="preserve">IAM Development</t>
  </si>
  <si>
    <t xml:space="preserve">IAM Quality Assurance</t>
  </si>
  <si>
    <t xml:space="preserve">IAM BAU</t>
  </si>
  <si>
    <t xml:space="preserve">IAM Prod Support</t>
  </si>
  <si>
    <t xml:space="preserve">Category</t>
  </si>
  <si>
    <t xml:space="preserve">Value</t>
  </si>
  <si>
    <t xml:space="preserve">Development – Project Delivery Performance</t>
  </si>
  <si>
    <t xml:space="preserve">KPI</t>
  </si>
  <si>
    <t xml:space="preserve">Current</t>
  </si>
  <si>
    <t xml:space="preserve">Previous</t>
  </si>
  <si>
    <t xml:space="preserve">Target</t>
  </si>
  <si>
    <t xml:space="preserve">Avg Project Cycle Time (Days)</t>
  </si>
  <si>
    <t xml:space="preserve">≤65</t>
  </si>
  <si>
    <t xml:space="preserve">Projects Delivered</t>
  </si>
  <si>
    <t xml:space="preserve">NA</t>
  </si>
  <si>
    <t xml:space="preserve">On-Time Delivery %</t>
  </si>
  <si>
    <t xml:space="preserve">92%</t>
  </si>
  <si>
    <t xml:space="preserve">90%</t>
  </si>
  <si>
    <t xml:space="preserve">Rework Rate %</t>
  </si>
  <si>
    <t xml:space="preserve">4%</t>
  </si>
  <si>
    <t xml:space="preserve">5%</t>
  </si>
  <si>
    <t xml:space="preserve">≤5%</t>
  </si>
  <si>
    <t xml:space="preserve">Cycle Time (Days)</t>
  </si>
  <si>
    <t xml:space="preserve">Development – Planning &amp; Ownership</t>
  </si>
  <si>
    <t xml:space="preserve">Attribute</t>
  </si>
  <si>
    <t xml:space="preserve">Measurement Criteria</t>
  </si>
  <si>
    <t xml:space="preserve">Data Source</t>
  </si>
  <si>
    <t xml:space="preserve">Good Benchmark</t>
  </si>
  <si>
    <t xml:space="preserve">Estimation Accuracy</t>
  </si>
  <si>
    <t xml:space="preserve">Planned vs actual (54 vs 50) – 8% variance</t>
  </si>
  <si>
    <t xml:space="preserve">Jira</t>
  </si>
  <si>
    <t xml:space="preserve">≤10% variance</t>
  </si>
  <si>
    <t xml:space="preserve">Task Ownership</t>
  </si>
  <si>
    <t xml:space="preserve">Follow-ups needed – Low</t>
  </si>
  <si>
    <t xml:space="preserve">Manager review</t>
  </si>
  <si>
    <t xml:space="preserve">Low</t>
  </si>
  <si>
    <t xml:space="preserve">Proactiveness</t>
  </si>
  <si>
    <t xml:space="preserve">Issues raised early – 9</t>
  </si>
  <si>
    <t xml:space="preserve">≥1/qtr</t>
  </si>
  <si>
    <t xml:space="preserve">Scope Control</t>
  </si>
  <si>
    <t xml:space="preserve">Scope creep caused – Minimal</t>
  </si>
  <si>
    <t xml:space="preserve">Change logs</t>
  </si>
  <si>
    <t xml:space="preserve">Minimal</t>
  </si>
  <si>
    <t xml:space="preserve">Estimation Accuracy
(% variance)</t>
  </si>
  <si>
    <t xml:space="preserve">Proactiveness
(issues raised)</t>
  </si>
  <si>
    <t xml:space="preserve">Production Support – Defects/Issues Fulfillment Performance</t>
  </si>
  <si>
    <t xml:space="preserve">Total Defects/Issues Handled</t>
  </si>
  <si>
    <t xml:space="preserve">SLA Adherence</t>
  </si>
  <si>
    <t xml:space="preserve">96%</t>
  </si>
  <si>
    <t xml:space="preserve">≥95%</t>
  </si>
  <si>
    <t xml:space="preserve">Avg Completion Time</t>
  </si>
  <si>
    <t xml:space="preserve">1.8 days</t>
  </si>
  <si>
    <t xml:space="preserve">≤3 days</t>
  </si>
  <si>
    <t xml:space="preserve">Actual (%)</t>
  </si>
  <si>
    <t xml:space="preserve">Target (%)</t>
  </si>
  <si>
    <t xml:space="preserve">Request Fulfillment Performance – BAU / Prod Support</t>
  </si>
  <si>
    <t xml:space="preserve">Total Requests Handled</t>
  </si>
  <si>
    <t xml:space="preserve">—</t>
  </si>
  <si>
    <t xml:space="preserve">Manual</t>
  </si>
  <si>
    <t xml:space="preserve">99%</t>
  </si>
  <si>
    <t xml:space="preserve">Automated</t>
  </si>
  <si>
    <t xml:space="preserve">20 mins</t>
  </si>
  <si>
    <t xml:space="preserve">≤2 hrs</t>
  </si>
  <si>
    <t xml:space="preserve">Manual Requests Handled</t>
  </si>
  <si>
    <t xml:space="preserve">475 (2.5%)</t>
  </si>
  <si>
    <t xml:space="preserve">  – BI Publisher Report</t>
  </si>
  <si>
    <t xml:space="preserve">  – Workday Dropped User Report</t>
  </si>
  <si>
    <t xml:space="preserve">  – Monthly/Quarterly Audits</t>
  </si>
  <si>
    <t xml:space="preserve">  – Quarterly Patching</t>
  </si>
  <si>
    <t xml:space="preserve">Automated Requests Handled</t>
  </si>
  <si>
    <t xml:space="preserve">19,157 (97.5%)</t>
  </si>
  <si>
    <t xml:space="preserve">  – Daily Feed Files</t>
  </si>
  <si>
    <t xml:space="preserve">  – Access Portal Email Notifications</t>
  </si>
  <si>
    <t xml:space="preserve">  – Access Portal Requests</t>
  </si>
  <si>
    <t xml:space="preserve">  – OIM Scheduled Jobs</t>
  </si>
  <si>
    <t xml:space="preserve">Workload Distribution</t>
  </si>
  <si>
    <t xml:space="preserve">Percentage (%)</t>
  </si>
  <si>
    <t xml:space="preserve">OIM Integration</t>
  </si>
  <si>
    <t xml:space="preserve">Okta Integrations</t>
  </si>
  <si>
    <t xml:space="preserve">BAU Support</t>
  </si>
  <si>
    <t xml:space="preserve">Production Support</t>
  </si>
  <si>
    <t xml:space="preserve">Total</t>
  </si>
  <si>
    <t xml:space="preserve">Offshore IAM Productivity Metric – Q1 | Dashboard</t>
  </si>
  <si>
    <t xml:space="preserve">Cat</t>
  </si>
  <si>
    <t xml:space="preserve">Val</t>
  </si>
  <si>
    <t xml:space="preserve">Est. Accuracy
(% var.)</t>
  </si>
  <si>
    <t xml:space="preserve">Proactiveness
(issues)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</si>
</sst>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DEEAF1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4F81BD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Team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'1-Team Composition'!K2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'1-Team Composition'!$J$3:$J$6</c:f>
              <c:strCache>
                <c:ptCount val="4"/>
                <c:pt idx="0">
                  <c:v>IAM Development</c:v>
                </c:pt>
                <c:pt idx="1">
                  <c:v>IAM Quality Assurance</c:v>
                </c:pt>
                <c:pt idx="2">
                  <c:v>IAM BAU</c:v>
                </c:pt>
                <c:pt idx="3">
                  <c:v>IAM Prod Support</c:v>
                </c:pt>
              </c:strCache>
            </c:strRef>
          </c:cat>
          <c:val>
            <c:numRef>
              <c:f>'1-Team Composition'!$K$3:$K$6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 Delivery – Key Metrics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'2-Project Delivery'!K20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'2-Project Delivery'!$J$21:$J$22</c:f>
              <c:strCache>
                <c:ptCount val="2"/>
                <c:pt idx="0">
                  <c:v>Cycle Time (Days)</c:v>
                </c:pt>
                <c:pt idx="1">
                  <c:v>Projects Delivered</c:v>
                </c:pt>
              </c:strCache>
            </c:strRef>
          </c:cat>
          <c:val>
            <c:numRef>
              <c:f>'2-Project Delivery'!$K$21:$K$22</c:f>
              <c:numCache>
                <c:formatCode>General</c:formatCode>
                <c:ptCount val="2"/>
                <c:pt idx="0">
                  <c:v>54</c:v>
                </c:pt>
                <c:pt idx="1">
                  <c:v>2</c:v>
                </c:pt>
              </c:numCache>
            </c:numRef>
          </c:val>
        </c:ser>
        <c:ser>
          <c:idx val="1"/>
          <c:order val="1"/>
          <c:tx>
            <c:strRef>
              <c:f>'2-Project Delivery'!L20</c:f>
              <c:strCache>
                <c:ptCount val="1"/>
                <c:pt idx="0">
                  <c:v>Previous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'2-Project Delivery'!$J$21:$J$22</c:f>
              <c:strCache>
                <c:ptCount val="2"/>
                <c:pt idx="0">
                  <c:v>Cycle Time (Days)</c:v>
                </c:pt>
                <c:pt idx="1">
                  <c:v>Projects Delivered</c:v>
                </c:pt>
              </c:strCache>
            </c:strRef>
          </c:cat>
          <c:val>
            <c:numRef>
              <c:f>'2-Project Delivery'!$L$21:$L$22</c:f>
              <c:numCache>
                <c:formatCode>General</c:formatCode>
                <c:ptCount val="2"/>
                <c:pt idx="0">
                  <c:v>60</c:v>
                </c:pt>
                <c:pt idx="1">
                  <c:v>2</c:v>
                </c:pt>
              </c:numCache>
            </c:numRef>
          </c:val>
        </c:ser>
        <c:gapWidth val="150"/>
        <c:overlap val="0"/>
        <c:axId val="83282708"/>
        <c:axId val="50755754"/>
      </c:barChart>
      <c:catAx>
        <c:axId val="832827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55754"/>
        <c:crosses val="autoZero"/>
        <c:auto val="1"/>
        <c:lblAlgn val="ctr"/>
        <c:lblOffset val="100"/>
        <c:noMultiLvlLbl val="0"/>
      </c:catAx>
      <c:valAx>
        <c:axId val="50755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827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Planning &amp; Ownership – Numeric Indicators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'3-Planning &amp; Ownership'!K20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'3-Planning &amp; Ownership'!$J$21:$J$22</c:f>
              <c:strCache>
                <c:ptCount val="2"/>
                <c:pt idx="0">
                  <c:v>Estimation Accuracy
(% variance)</c:v>
                </c:pt>
                <c:pt idx="1">
                  <c:v>Proactiveness
(issues raised)</c:v>
                </c:pt>
              </c:strCache>
            </c:strRef>
          </c:cat>
          <c:val>
            <c:numRef>
              <c:f>'3-Planning &amp; Ownership'!$K$21:$K$22</c:f>
              <c:numCache>
                <c:formatCode>General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</c:ser>
        <c:gapWidth val="150"/>
        <c:overlap val="0"/>
        <c:axId val="19485113"/>
        <c:axId val="18626239"/>
      </c:barChart>
      <c:catAx>
        <c:axId val="194851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26239"/>
        <c:crosses val="autoZero"/>
        <c:auto val="1"/>
        <c:lblAlgn val="ctr"/>
        <c:lblOffset val="100"/>
        <c:noMultiLvlLbl val="0"/>
      </c:catAx>
      <c:valAx>
        <c:axId val="186262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851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Defects – SLA Adherence vs Target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'4-Defects &amp; Issues'!K20</c:f>
              <c:strCache>
                <c:ptCount val="1"/>
                <c:pt idx="0">
                  <c:v>Actual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'4-Defects &amp; Issues'!$J$21</c:f>
              <c:strCache>
                <c:ptCount val="1"/>
                <c:pt idx="0">
                  <c:v>SLA Adherence</c:v>
                </c:pt>
              </c:strCache>
            </c:strRef>
          </c:cat>
          <c:val>
            <c:numRef>
              <c:f>'4-Defects &amp; Issues'!$K$21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</c:ser>
        <c:ser>
          <c:idx val="1"/>
          <c:order val="1"/>
          <c:tx>
            <c:strRef>
              <c:f>'4-Defects &amp; Issues'!L20</c:f>
              <c:strCache>
                <c:ptCount val="1"/>
                <c:pt idx="0">
                  <c:v>Target (%)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'4-Defects &amp; Issues'!$J$21</c:f>
              <c:strCache>
                <c:ptCount val="1"/>
                <c:pt idx="0">
                  <c:v>SLA Adherence</c:v>
                </c:pt>
              </c:strCache>
            </c:strRef>
          </c:cat>
          <c:val>
            <c:numRef>
              <c:f>'4-Defects &amp; Issues'!$L$21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</c:ser>
        <c:gapWidth val="150"/>
        <c:overlap val="0"/>
        <c:axId val="33766487"/>
        <c:axId val="12981778"/>
      </c:barChart>
      <c:catAx>
        <c:axId val="33766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81778"/>
        <c:crosses val="autoZero"/>
        <c:auto val="1"/>
        <c:lblAlgn val="ctr"/>
        <c:lblOffset val="100"/>
        <c:noMultiLvlLbl val="0"/>
      </c:catAx>
      <c:valAx>
        <c:axId val="12981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66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Manual vs Automated Requests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'5-Request Fulfillment'!K2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'5-Request Fulfillment'!$J$3:$J$4</c:f>
              <c:strCache>
                <c:ptCount val="2"/>
                <c:pt idx="0">
                  <c:v>Manual</c:v>
                </c:pt>
                <c:pt idx="1">
                  <c:v>Automated</c:v>
                </c:pt>
              </c:strCache>
            </c:strRef>
          </c:cat>
          <c:val>
            <c:numRef>
              <c:f>'5-Request Fulfillment'!$K$3:$K$4</c:f>
              <c:numCache>
                <c:formatCode>General</c:formatCode>
                <c:ptCount val="2"/>
                <c:pt idx="0">
                  <c:v>475</c:v>
                </c:pt>
                <c:pt idx="1">
                  <c:v>19157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Workload Distribution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'6-Workload Distribution'!K2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'6-Workload Distribution'!$J$3:$J$6</c:f>
              <c:strCache>
                <c:ptCount val="4"/>
                <c:pt idx="0">
                  <c:v>OIM Integration</c:v>
                </c:pt>
                <c:pt idx="1">
                  <c:v>Okta Integrations</c:v>
                </c:pt>
                <c:pt idx="2">
                  <c:v>BAU Support</c:v>
                </c:pt>
                <c:pt idx="3">
                  <c:v>Production Support</c:v>
                </c:pt>
              </c:strCache>
            </c:strRef>
          </c:cat>
          <c:val>
            <c:numRef>
              <c:f>'6-Workload Distribution'!$K$3:$K$6</c:f>
              <c:numCache>
                <c:formatCode>General</c:formatCode>
                <c:ptCount val="4"/>
                <c:pt idx="0">
                  <c:v>35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1. Team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'7-Dashboard'!U2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'7-Dashboard'!$T$3:$T$6</c:f>
              <c:strCache>
                <c:ptCount val="4"/>
                <c:pt idx="0">
                  <c:v>IAM Development</c:v>
                </c:pt>
                <c:pt idx="1">
                  <c:v>IAM Quality Assurance</c:v>
                </c:pt>
                <c:pt idx="2">
                  <c:v>IAM BAU</c:v>
                </c:pt>
                <c:pt idx="3">
                  <c:v>IAM Prod Support</c:v>
                </c:pt>
              </c:strCache>
            </c:strRef>
          </c:cat>
          <c:val>
            <c:numRef>
              <c:f>'7-Dashboard'!$U$3:$U$6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2. Project Delivery – Cycle Time &amp; Projects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'7-Dashboard'!AY2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'7-Dashboard'!$AX$3:$AX$4</c:f>
              <c:strCache>
                <c:ptCount val="2"/>
                <c:pt idx="0">
                  <c:v>Cycle Time (Days)</c:v>
                </c:pt>
                <c:pt idx="1">
                  <c:v>Projects Delivered</c:v>
                </c:pt>
              </c:strCache>
            </c:strRef>
          </c:cat>
          <c:val>
            <c:numRef>
              <c:f>'7-Dashboard'!$AY$3:$AY$4</c:f>
              <c:numCache>
                <c:formatCode>General</c:formatCode>
                <c:ptCount val="2"/>
                <c:pt idx="0">
                  <c:v>54</c:v>
                </c:pt>
                <c:pt idx="1">
                  <c:v>2</c:v>
                </c:pt>
              </c:numCache>
            </c:numRef>
          </c:val>
        </c:ser>
        <c:ser>
          <c:idx val="1"/>
          <c:order val="1"/>
          <c:tx>
            <c:strRef>
              <c:f>'7-Dashboard'!AZ2</c:f>
              <c:strCache>
                <c:ptCount val="1"/>
                <c:pt idx="0">
                  <c:v>Previous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'7-Dashboard'!$AX$3:$AX$4</c:f>
              <c:strCache>
                <c:ptCount val="2"/>
                <c:pt idx="0">
                  <c:v>Cycle Time (Days)</c:v>
                </c:pt>
                <c:pt idx="1">
                  <c:v>Projects Delivered</c:v>
                </c:pt>
              </c:strCache>
            </c:strRef>
          </c:cat>
          <c:val>
            <c:numRef>
              <c:f>'7-Dashboard'!$AZ$3:$AZ$4</c:f>
              <c:numCache>
                <c:formatCode>General</c:formatCode>
                <c:ptCount val="2"/>
                <c:pt idx="0">
                  <c:v>60</c:v>
                </c:pt>
                <c:pt idx="1">
                  <c:v>2</c:v>
                </c:pt>
              </c:numCache>
            </c:numRef>
          </c:val>
        </c:ser>
        <c:gapWidth val="150"/>
        <c:overlap val="0"/>
        <c:axId val="99417764"/>
        <c:axId val="7289496"/>
      </c:barChart>
      <c:catAx>
        <c:axId val="99417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9496"/>
        <c:crosses val="autoZero"/>
        <c:auto val="1"/>
        <c:lblAlgn val="ctr"/>
        <c:lblOffset val="100"/>
        <c:noMultiLvlLbl val="0"/>
      </c:catAx>
      <c:valAx>
        <c:axId val="7289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177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3. Planning – Numeric Indicators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'7-Dashboard'!BI2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'7-Dashboard'!$BH$3:$BH$4</c:f>
              <c:strCache>
                <c:ptCount val="2"/>
                <c:pt idx="0">
                  <c:v>Est. Accuracy
(% var.)</c:v>
                </c:pt>
                <c:pt idx="1">
                  <c:v>Proactiveness
(issues)</c:v>
                </c:pt>
              </c:strCache>
            </c:strRef>
          </c:cat>
          <c:val>
            <c:numRef>
              <c:f>'7-Dashboard'!$BI$3:$BI$4</c:f>
              <c:numCache>
                <c:formatCode>General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</c:ser>
        <c:gapWidth val="150"/>
        <c:overlap val="0"/>
        <c:axId val="93094411"/>
        <c:axId val="13257950"/>
      </c:barChart>
      <c:catAx>
        <c:axId val="930944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57950"/>
        <c:crosses val="autoZero"/>
        <c:auto val="1"/>
        <c:lblAlgn val="ctr"/>
        <c:lblOffset val="100"/>
        <c:noMultiLvlLbl val="0"/>
      </c:catAx>
      <c:valAx>
        <c:axId val="132579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944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4. Defects – SLA vs Target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'7-Dashboard'!BS2</c:f>
              <c:strCache>
                <c:ptCount val="1"/>
                <c:pt idx="0">
                  <c:v>Actual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'7-Dashboard'!$BR$3</c:f>
              <c:strCache>
                <c:ptCount val="1"/>
                <c:pt idx="0">
                  <c:v>SLA Adherence</c:v>
                </c:pt>
              </c:strCache>
            </c:strRef>
          </c:cat>
          <c:val>
            <c:numRef>
              <c:f>'7-Dashboard'!$BS$3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</c:ser>
        <c:ser>
          <c:idx val="1"/>
          <c:order val="1"/>
          <c:tx>
            <c:strRef>
              <c:f>'7-Dashboard'!BT2</c:f>
              <c:strCache>
                <c:ptCount val="1"/>
                <c:pt idx="0">
                  <c:v>Target (%)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'7-Dashboard'!$BR$3</c:f>
              <c:strCache>
                <c:ptCount val="1"/>
                <c:pt idx="0">
                  <c:v>SLA Adherence</c:v>
                </c:pt>
              </c:strCache>
            </c:strRef>
          </c:cat>
          <c:val>
            <c:numRef>
              <c:f>'7-Dashboard'!$BT$3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</c:ser>
        <c:gapWidth val="150"/>
        <c:overlap val="0"/>
        <c:axId val="87462615"/>
        <c:axId val="10006154"/>
      </c:barChart>
      <c:catAx>
        <c:axId val="87462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06154"/>
        <c:crosses val="autoZero"/>
        <c:auto val="1"/>
        <c:lblAlgn val="ctr"/>
        <c:lblOffset val="100"/>
        <c:noMultiLvlLbl val="0"/>
      </c:catAx>
      <c:valAx>
        <c:axId val="10006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626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5. Manual vs Automated Requests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'7-Dashboard'!AE2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'7-Dashboard'!$AD$3:$AD$4</c:f>
              <c:strCache>
                <c:ptCount val="2"/>
                <c:pt idx="0">
                  <c:v>OIM Integration</c:v>
                </c:pt>
                <c:pt idx="1">
                  <c:v>Okta Integrations</c:v>
                </c:pt>
              </c:strCache>
            </c:strRef>
          </c:cat>
          <c:val>
            <c:numRef>
              <c:f>'7-Dashboard'!$AE$3:$AE$4</c:f>
              <c:numCache>
                <c:formatCode>General</c:formatCode>
                <c:ptCount val="2"/>
                <c:pt idx="0">
                  <c:v>35</c:v>
                </c:pt>
                <c:pt idx="1">
                  <c:v>20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6. Workload Distribution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'7-Dashboard'!AE2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'7-Dashboard'!$AD$3:$AD$6</c:f>
              <c:strCache>
                <c:ptCount val="4"/>
                <c:pt idx="0">
                  <c:v>OIM Integration</c:v>
                </c:pt>
                <c:pt idx="1">
                  <c:v>Okta Integrations</c:v>
                </c:pt>
                <c:pt idx="2">
                  <c:v>BAU Support</c:v>
                </c:pt>
                <c:pt idx="3">
                  <c:v>Production Support</c:v>
                </c:pt>
              </c:strCache>
            </c:strRef>
          </c:cat>
          <c:val>
            <c:numRef>
              <c:f>'7-Dashboard'!$AE$3:$AE$6</c:f>
              <c:numCache>
                <c:formatCode>General</c:formatCode>
                <c:ptCount val="4"/>
                <c:pt idx="0">
                  <c:v>35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3</xdr:col>
      <xdr:colOff>458280</xdr:colOff>
      <xdr:row>22</xdr:row>
      <xdr:rowOff>170640</xdr:rowOff>
    </xdr:to>
    <xdr:graphicFrame>
      <xdr:nvGraphicFramePr>
        <xdr:cNvPr id="0" name="Chart 1"/>
        <xdr:cNvGraphicFramePr/>
      </xdr:nvGraphicFramePr>
      <xdr:xfrm>
        <a:off x="0" y="10954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5</xdr:col>
      <xdr:colOff>191160</xdr:colOff>
      <xdr:row>29</xdr:row>
      <xdr:rowOff>128520</xdr:rowOff>
    </xdr:to>
    <xdr:graphicFrame>
      <xdr:nvGraphicFramePr>
        <xdr:cNvPr id="1" name="Chart 1"/>
        <xdr:cNvGraphicFramePr/>
      </xdr:nvGraphicFramePr>
      <xdr:xfrm>
        <a:off x="0" y="149544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3</xdr:col>
      <xdr:colOff>402840</xdr:colOff>
      <xdr:row>28</xdr:row>
      <xdr:rowOff>170640</xdr:rowOff>
    </xdr:to>
    <xdr:graphicFrame>
      <xdr:nvGraphicFramePr>
        <xdr:cNvPr id="2" name="Chart 1"/>
        <xdr:cNvGraphicFramePr/>
      </xdr:nvGraphicFramePr>
      <xdr:xfrm>
        <a:off x="0" y="16858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5</xdr:col>
      <xdr:colOff>2880</xdr:colOff>
      <xdr:row>28</xdr:row>
      <xdr:rowOff>128880</xdr:rowOff>
    </xdr:to>
    <xdr:graphicFrame>
      <xdr:nvGraphicFramePr>
        <xdr:cNvPr id="3" name="Chart 1"/>
        <xdr:cNvGraphicFramePr/>
      </xdr:nvGraphicFramePr>
      <xdr:xfrm>
        <a:off x="0" y="13050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2</xdr:col>
      <xdr:colOff>951480</xdr:colOff>
      <xdr:row>37</xdr:row>
      <xdr:rowOff>170640</xdr:rowOff>
    </xdr:to>
    <xdr:graphicFrame>
      <xdr:nvGraphicFramePr>
        <xdr:cNvPr id="4" name="Chart 1"/>
        <xdr:cNvGraphicFramePr/>
      </xdr:nvGraphicFramePr>
      <xdr:xfrm>
        <a:off x="0" y="3781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221760</xdr:colOff>
      <xdr:row>26</xdr:row>
      <xdr:rowOff>170640</xdr:rowOff>
    </xdr:to>
    <xdr:graphicFrame>
      <xdr:nvGraphicFramePr>
        <xdr:cNvPr id="5" name="Chart 1"/>
        <xdr:cNvGraphicFramePr/>
      </xdr:nvGraphicFramePr>
      <xdr:xfrm>
        <a:off x="0" y="1685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7</xdr:col>
      <xdr:colOff>399240</xdr:colOff>
      <xdr:row>21</xdr:row>
      <xdr:rowOff>170280</xdr:rowOff>
    </xdr:to>
    <xdr:graphicFrame>
      <xdr:nvGraphicFramePr>
        <xdr:cNvPr id="6" name="Chart 1"/>
        <xdr:cNvGraphicFramePr/>
      </xdr:nvGraphicFramePr>
      <xdr:xfrm>
        <a:off x="0" y="399960"/>
        <a:ext cx="46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</xdr:row>
      <xdr:rowOff>0</xdr:rowOff>
    </xdr:from>
    <xdr:to>
      <xdr:col>14</xdr:col>
      <xdr:colOff>398880</xdr:colOff>
      <xdr:row>21</xdr:row>
      <xdr:rowOff>170280</xdr:rowOff>
    </xdr:to>
    <xdr:graphicFrame>
      <xdr:nvGraphicFramePr>
        <xdr:cNvPr id="7" name="Chart 2"/>
        <xdr:cNvGraphicFramePr/>
      </xdr:nvGraphicFramePr>
      <xdr:xfrm>
        <a:off x="4280400" y="399960"/>
        <a:ext cx="46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1</xdr:row>
      <xdr:rowOff>0</xdr:rowOff>
    </xdr:from>
    <xdr:to>
      <xdr:col>21</xdr:col>
      <xdr:colOff>399240</xdr:colOff>
      <xdr:row>21</xdr:row>
      <xdr:rowOff>170280</xdr:rowOff>
    </xdr:to>
    <xdr:graphicFrame>
      <xdr:nvGraphicFramePr>
        <xdr:cNvPr id="8" name="Chart 3"/>
        <xdr:cNvGraphicFramePr/>
      </xdr:nvGraphicFramePr>
      <xdr:xfrm>
        <a:off x="8561160" y="399960"/>
        <a:ext cx="46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19</xdr:row>
      <xdr:rowOff>42120</xdr:rowOff>
    </xdr:from>
    <xdr:to>
      <xdr:col>7</xdr:col>
      <xdr:colOff>399240</xdr:colOff>
      <xdr:row>41</xdr:row>
      <xdr:rowOff>170640</xdr:rowOff>
    </xdr:to>
    <xdr:graphicFrame>
      <xdr:nvGraphicFramePr>
        <xdr:cNvPr id="9" name="Chart 4"/>
        <xdr:cNvGraphicFramePr/>
      </xdr:nvGraphicFramePr>
      <xdr:xfrm>
        <a:off x="0" y="4210200"/>
        <a:ext cx="46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19</xdr:row>
      <xdr:rowOff>42120</xdr:rowOff>
    </xdr:from>
    <xdr:to>
      <xdr:col>14</xdr:col>
      <xdr:colOff>398880</xdr:colOff>
      <xdr:row>41</xdr:row>
      <xdr:rowOff>170640</xdr:rowOff>
    </xdr:to>
    <xdr:graphicFrame>
      <xdr:nvGraphicFramePr>
        <xdr:cNvPr id="10" name="Chart 5"/>
        <xdr:cNvGraphicFramePr/>
      </xdr:nvGraphicFramePr>
      <xdr:xfrm>
        <a:off x="4280400" y="4210200"/>
        <a:ext cx="46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19</xdr:row>
      <xdr:rowOff>42120</xdr:rowOff>
    </xdr:from>
    <xdr:to>
      <xdr:col>21</xdr:col>
      <xdr:colOff>399240</xdr:colOff>
      <xdr:row>41</xdr:row>
      <xdr:rowOff>170640</xdr:rowOff>
    </xdr:to>
    <xdr:graphicFrame>
      <xdr:nvGraphicFramePr>
        <xdr:cNvPr id="11" name="Chart 6"/>
        <xdr:cNvGraphicFramePr/>
      </xdr:nvGraphicFramePr>
      <xdr:xfrm>
        <a:off x="8561160" y="4210200"/>
        <a:ext cx="46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20"/>
    <col collapsed="false" customWidth="true" hidden="false" outlineLevel="0" max="5" min="5" style="0" width="18"/>
    <col collapsed="false" customWidth="true" hidden="false" outlineLevel="0" max="8" min="6" style="0" width="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J2" s="3" t="s">
        <v>5</v>
      </c>
      <c r="K2" s="3" t="s">
        <v>6</v>
      </c>
    </row>
    <row r="3" customFormat="false" ht="21.75" hidden="false" customHeight="true" outlineLevel="0" collapsed="false">
      <c r="A3" s="4" t="n">
        <v>7</v>
      </c>
      <c r="B3" s="5" t="n">
        <v>3</v>
      </c>
      <c r="C3" s="4" t="n">
        <v>2</v>
      </c>
      <c r="D3" s="5" t="n">
        <v>2</v>
      </c>
      <c r="J3" s="3" t="s">
        <v>1</v>
      </c>
      <c r="K3" s="0" t="n">
        <v>7</v>
      </c>
    </row>
    <row r="4" customFormat="false" ht="15" hidden="false" customHeight="false" outlineLevel="0" collapsed="false">
      <c r="J4" s="0" t="s">
        <v>2</v>
      </c>
      <c r="K4" s="0" t="n">
        <v>3</v>
      </c>
    </row>
    <row r="5" customFormat="false" ht="15" hidden="false" customHeight="false" outlineLevel="0" collapsed="false">
      <c r="J5" s="0" t="s">
        <v>3</v>
      </c>
      <c r="K5" s="0" t="n">
        <v>2</v>
      </c>
    </row>
    <row r="6" customFormat="false" ht="15" hidden="false" customHeight="false" outlineLevel="0" collapsed="false">
      <c r="J6" s="0" t="s">
        <v>4</v>
      </c>
      <c r="K6" s="0" t="n">
        <v>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  <col collapsed="false" customWidth="true" hidden="false" outlineLevel="0" max="8" min="5" style="0" width="5"/>
  </cols>
  <sheetData>
    <row r="1" customFormat="false" ht="27.75" hidden="false" customHeight="true" outlineLevel="0" collapsed="false">
      <c r="A1" s="1" t="s">
        <v>7</v>
      </c>
      <c r="B1" s="1"/>
      <c r="C1" s="1"/>
      <c r="D1" s="1"/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</row>
    <row r="3" customFormat="false" ht="15" hidden="false" customHeight="false" outlineLevel="0" collapsed="false">
      <c r="A3" s="6" t="s">
        <v>12</v>
      </c>
      <c r="B3" s="7" t="n">
        <v>54</v>
      </c>
      <c r="C3" s="7" t="n">
        <v>60</v>
      </c>
      <c r="D3" s="7" t="s">
        <v>13</v>
      </c>
    </row>
    <row r="4" customFormat="false" ht="15" hidden="false" customHeight="false" outlineLevel="0" collapsed="false">
      <c r="A4" s="8" t="s">
        <v>14</v>
      </c>
      <c r="B4" s="9" t="n">
        <v>2</v>
      </c>
      <c r="C4" s="9" t="n">
        <v>2</v>
      </c>
      <c r="D4" s="9" t="s">
        <v>15</v>
      </c>
    </row>
    <row r="5" customFormat="false" ht="15" hidden="false" customHeight="false" outlineLevel="0" collapsed="false">
      <c r="A5" s="6" t="s">
        <v>16</v>
      </c>
      <c r="B5" s="7" t="s">
        <v>17</v>
      </c>
      <c r="C5" s="7" t="s">
        <v>18</v>
      </c>
      <c r="D5" s="7" t="s">
        <v>18</v>
      </c>
    </row>
    <row r="6" customFormat="false" ht="15" hidden="false" customHeight="false" outlineLevel="0" collapsed="false">
      <c r="A6" s="8" t="s">
        <v>19</v>
      </c>
      <c r="B6" s="9" t="s">
        <v>20</v>
      </c>
      <c r="C6" s="9" t="s">
        <v>21</v>
      </c>
      <c r="D6" s="9" t="s">
        <v>22</v>
      </c>
    </row>
    <row r="20" customFormat="false" ht="15" hidden="false" customHeight="false" outlineLevel="0" collapsed="false">
      <c r="J20" s="0" t="s">
        <v>5</v>
      </c>
      <c r="K20" s="0" t="s">
        <v>9</v>
      </c>
      <c r="L20" s="0" t="s">
        <v>10</v>
      </c>
    </row>
    <row r="21" customFormat="false" ht="15" hidden="false" customHeight="false" outlineLevel="0" collapsed="false">
      <c r="J21" s="0" t="s">
        <v>23</v>
      </c>
      <c r="K21" s="0" t="n">
        <v>54</v>
      </c>
      <c r="L21" s="0" t="n">
        <v>60</v>
      </c>
    </row>
    <row r="22" customFormat="false" ht="15" hidden="false" customHeight="false" outlineLevel="0" collapsed="false">
      <c r="J22" s="0" t="s">
        <v>14</v>
      </c>
      <c r="K22" s="0" t="n">
        <v>2</v>
      </c>
      <c r="L22" s="0" t="n">
        <v>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5"/>
  </cols>
  <sheetData>
    <row r="1" customFormat="false" ht="27.75" hidden="false" customHeight="true" outlineLevel="0" collapsed="false">
      <c r="A1" s="1" t="s">
        <v>24</v>
      </c>
      <c r="B1" s="1"/>
      <c r="C1" s="1"/>
      <c r="D1" s="1"/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</row>
    <row r="3" customFormat="false" ht="15" hidden="false" customHeight="false" outlineLevel="0" collapsed="false">
      <c r="A3" s="6" t="s">
        <v>29</v>
      </c>
      <c r="B3" s="6" t="s">
        <v>30</v>
      </c>
      <c r="C3" s="7" t="s">
        <v>31</v>
      </c>
      <c r="D3" s="7" t="s">
        <v>32</v>
      </c>
    </row>
    <row r="4" customFormat="false" ht="15" hidden="false" customHeight="false" outlineLevel="0" collapsed="false">
      <c r="A4" s="8" t="s">
        <v>33</v>
      </c>
      <c r="B4" s="8" t="s">
        <v>34</v>
      </c>
      <c r="C4" s="9" t="s">
        <v>35</v>
      </c>
      <c r="D4" s="9" t="s">
        <v>36</v>
      </c>
    </row>
    <row r="5" customFormat="false" ht="15" hidden="false" customHeight="false" outlineLevel="0" collapsed="false">
      <c r="A5" s="6" t="s">
        <v>37</v>
      </c>
      <c r="B5" s="6" t="s">
        <v>38</v>
      </c>
      <c r="C5" s="7" t="s">
        <v>31</v>
      </c>
      <c r="D5" s="7" t="s">
        <v>39</v>
      </c>
    </row>
    <row r="6" customFormat="false" ht="15" hidden="false" customHeight="false" outlineLevel="0" collapsed="false">
      <c r="A6" s="8" t="s">
        <v>40</v>
      </c>
      <c r="B6" s="8" t="s">
        <v>41</v>
      </c>
      <c r="C6" s="9" t="s">
        <v>42</v>
      </c>
      <c r="D6" s="9" t="s">
        <v>43</v>
      </c>
    </row>
    <row r="20" customFormat="false" ht="15" hidden="false" customHeight="false" outlineLevel="0" collapsed="false">
      <c r="J20" s="0" t="s">
        <v>5</v>
      </c>
      <c r="K20" s="0" t="s">
        <v>6</v>
      </c>
    </row>
    <row r="21" customFormat="false" ht="28.35" hidden="false" customHeight="false" outlineLevel="0" collapsed="false">
      <c r="J21" s="10" t="s">
        <v>44</v>
      </c>
      <c r="K21" s="0" t="n">
        <v>8</v>
      </c>
    </row>
    <row r="22" customFormat="false" ht="28.35" hidden="false" customHeight="false" outlineLevel="0" collapsed="false">
      <c r="J22" s="10" t="s">
        <v>45</v>
      </c>
      <c r="K22" s="0" t="n">
        <v>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5"/>
  </cols>
  <sheetData>
    <row r="1" customFormat="false" ht="27.75" hidden="false" customHeight="true" outlineLevel="0" collapsed="false">
      <c r="A1" s="1" t="s">
        <v>46</v>
      </c>
      <c r="B1" s="1"/>
      <c r="C1" s="1"/>
    </row>
    <row r="2" customFormat="false" ht="15" hidden="false" customHeight="false" outlineLevel="0" collapsed="false">
      <c r="A2" s="2" t="s">
        <v>8</v>
      </c>
      <c r="B2" s="2" t="s">
        <v>6</v>
      </c>
      <c r="C2" s="2" t="s">
        <v>11</v>
      </c>
    </row>
    <row r="3" customFormat="false" ht="15" hidden="false" customHeight="false" outlineLevel="0" collapsed="false">
      <c r="A3" s="6" t="s">
        <v>47</v>
      </c>
      <c r="B3" s="7" t="n">
        <v>10</v>
      </c>
      <c r="C3" s="7" t="s">
        <v>15</v>
      </c>
    </row>
    <row r="4" customFormat="false" ht="15" hidden="false" customHeight="false" outlineLevel="0" collapsed="false">
      <c r="A4" s="8" t="s">
        <v>48</v>
      </c>
      <c r="B4" s="9" t="s">
        <v>49</v>
      </c>
      <c r="C4" s="9" t="s">
        <v>50</v>
      </c>
    </row>
    <row r="5" customFormat="false" ht="15" hidden="false" customHeight="false" outlineLevel="0" collapsed="false">
      <c r="A5" s="6" t="s">
        <v>51</v>
      </c>
      <c r="B5" s="7" t="s">
        <v>52</v>
      </c>
      <c r="C5" s="7" t="s">
        <v>53</v>
      </c>
    </row>
    <row r="20" customFormat="false" ht="15" hidden="false" customHeight="false" outlineLevel="0" collapsed="false">
      <c r="J20" s="0" t="s">
        <v>5</v>
      </c>
      <c r="K20" s="0" t="s">
        <v>54</v>
      </c>
      <c r="L20" s="0" t="s">
        <v>55</v>
      </c>
    </row>
    <row r="21" customFormat="false" ht="15" hidden="false" customHeight="false" outlineLevel="0" collapsed="false">
      <c r="J21" s="0" t="s">
        <v>48</v>
      </c>
      <c r="K21" s="0" t="n">
        <v>96</v>
      </c>
      <c r="L21" s="0" t="n">
        <v>95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"/>
  </cols>
  <sheetData>
    <row r="1" customFormat="false" ht="27.75" hidden="false" customHeight="true" outlineLevel="0" collapsed="false">
      <c r="A1" s="1" t="s">
        <v>56</v>
      </c>
      <c r="B1" s="1"/>
      <c r="C1" s="1"/>
    </row>
    <row r="2" customFormat="false" ht="15" hidden="false" customHeight="false" outlineLevel="0" collapsed="false">
      <c r="A2" s="2" t="s">
        <v>8</v>
      </c>
      <c r="B2" s="2" t="s">
        <v>6</v>
      </c>
      <c r="C2" s="2" t="s">
        <v>11</v>
      </c>
      <c r="J2" s="3" t="s">
        <v>5</v>
      </c>
      <c r="K2" s="3" t="s">
        <v>6</v>
      </c>
    </row>
    <row r="3" customFormat="false" ht="15" hidden="false" customHeight="false" outlineLevel="0" collapsed="false">
      <c r="A3" s="6" t="s">
        <v>57</v>
      </c>
      <c r="B3" s="7" t="n">
        <v>19570</v>
      </c>
      <c r="C3" s="7" t="s">
        <v>58</v>
      </c>
      <c r="J3" s="3" t="s">
        <v>59</v>
      </c>
      <c r="K3" s="0" t="n">
        <v>475</v>
      </c>
    </row>
    <row r="4" customFormat="false" ht="15" hidden="false" customHeight="false" outlineLevel="0" collapsed="false">
      <c r="A4" s="8" t="s">
        <v>48</v>
      </c>
      <c r="B4" s="9" t="s">
        <v>60</v>
      </c>
      <c r="C4" s="9" t="s">
        <v>50</v>
      </c>
      <c r="J4" s="3" t="s">
        <v>61</v>
      </c>
      <c r="K4" s="0" t="n">
        <v>19157</v>
      </c>
    </row>
    <row r="5" customFormat="false" ht="15" hidden="false" customHeight="false" outlineLevel="0" collapsed="false">
      <c r="A5" s="6" t="s">
        <v>51</v>
      </c>
      <c r="B5" s="7" t="s">
        <v>62</v>
      </c>
      <c r="C5" s="7" t="s">
        <v>63</v>
      </c>
    </row>
    <row r="6" customFormat="false" ht="15" hidden="false" customHeight="false" outlineLevel="0" collapsed="false">
      <c r="A6" s="11" t="s">
        <v>64</v>
      </c>
      <c r="B6" s="5" t="s">
        <v>65</v>
      </c>
      <c r="C6" s="5" t="s">
        <v>15</v>
      </c>
    </row>
    <row r="7" customFormat="false" ht="15" hidden="false" customHeight="false" outlineLevel="0" collapsed="false">
      <c r="A7" s="12" t="s">
        <v>66</v>
      </c>
      <c r="B7" s="13" t="n">
        <v>372</v>
      </c>
      <c r="C7" s="14"/>
    </row>
    <row r="8" customFormat="false" ht="15" hidden="false" customHeight="false" outlineLevel="0" collapsed="false">
      <c r="A8" s="12" t="s">
        <v>67</v>
      </c>
      <c r="B8" s="13" t="n">
        <v>25</v>
      </c>
      <c r="C8" s="14"/>
    </row>
    <row r="9" customFormat="false" ht="15" hidden="false" customHeight="false" outlineLevel="0" collapsed="false">
      <c r="A9" s="12" t="s">
        <v>68</v>
      </c>
      <c r="B9" s="13" t="n">
        <v>33</v>
      </c>
      <c r="C9" s="14"/>
    </row>
    <row r="10" customFormat="false" ht="15" hidden="false" customHeight="false" outlineLevel="0" collapsed="false">
      <c r="A10" s="12" t="s">
        <v>69</v>
      </c>
      <c r="B10" s="13" t="n">
        <v>45</v>
      </c>
      <c r="C10" s="14"/>
    </row>
    <row r="11" customFormat="false" ht="15" hidden="false" customHeight="false" outlineLevel="0" collapsed="false">
      <c r="A11" s="15" t="s">
        <v>70</v>
      </c>
      <c r="B11" s="4" t="s">
        <v>71</v>
      </c>
      <c r="C11" s="4" t="s">
        <v>15</v>
      </c>
    </row>
    <row r="12" customFormat="false" ht="15" hidden="false" customHeight="false" outlineLevel="0" collapsed="false">
      <c r="A12" s="12" t="s">
        <v>72</v>
      </c>
      <c r="B12" s="13" t="n">
        <v>300</v>
      </c>
      <c r="C12" s="14"/>
    </row>
    <row r="13" customFormat="false" ht="15" hidden="false" customHeight="false" outlineLevel="0" collapsed="false">
      <c r="A13" s="12" t="s">
        <v>73</v>
      </c>
      <c r="B13" s="13" t="n">
        <v>545</v>
      </c>
      <c r="C13" s="14"/>
    </row>
    <row r="14" customFormat="false" ht="15" hidden="false" customHeight="false" outlineLevel="0" collapsed="false">
      <c r="A14" s="12" t="s">
        <v>74</v>
      </c>
      <c r="B14" s="13" t="n">
        <v>10872</v>
      </c>
      <c r="C14" s="14"/>
    </row>
    <row r="15" customFormat="false" ht="15" hidden="false" customHeight="false" outlineLevel="0" collapsed="false">
      <c r="A15" s="12" t="s">
        <v>75</v>
      </c>
      <c r="B15" s="13" t="n">
        <v>7440</v>
      </c>
      <c r="C15" s="1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5"/>
  </cols>
  <sheetData>
    <row r="1" customFormat="false" ht="27.75" hidden="false" customHeight="true" outlineLevel="0" collapsed="false">
      <c r="A1" s="1" t="s">
        <v>76</v>
      </c>
      <c r="B1" s="1"/>
    </row>
    <row r="2" customFormat="false" ht="15" hidden="false" customHeight="false" outlineLevel="0" collapsed="false">
      <c r="A2" s="2" t="s">
        <v>5</v>
      </c>
      <c r="B2" s="2" t="s">
        <v>77</v>
      </c>
      <c r="J2" s="3" t="s">
        <v>5</v>
      </c>
      <c r="K2" s="3" t="s">
        <v>6</v>
      </c>
    </row>
    <row r="3" customFormat="false" ht="15" hidden="false" customHeight="false" outlineLevel="0" collapsed="false">
      <c r="A3" s="6" t="s">
        <v>78</v>
      </c>
      <c r="B3" s="7" t="n">
        <v>35</v>
      </c>
      <c r="J3" s="3" t="s">
        <v>78</v>
      </c>
      <c r="K3" s="0" t="n">
        <v>35</v>
      </c>
    </row>
    <row r="4" customFormat="false" ht="15" hidden="false" customHeight="false" outlineLevel="0" collapsed="false">
      <c r="A4" s="8" t="s">
        <v>79</v>
      </c>
      <c r="B4" s="9" t="n">
        <v>20</v>
      </c>
      <c r="J4" s="3" t="s">
        <v>79</v>
      </c>
      <c r="K4" s="0" t="n">
        <v>20</v>
      </c>
    </row>
    <row r="5" customFormat="false" ht="15" hidden="false" customHeight="false" outlineLevel="0" collapsed="false">
      <c r="A5" s="6" t="s">
        <v>80</v>
      </c>
      <c r="B5" s="7" t="n">
        <v>20</v>
      </c>
      <c r="J5" s="3" t="s">
        <v>80</v>
      </c>
      <c r="K5" s="0" t="n">
        <v>20</v>
      </c>
    </row>
    <row r="6" customFormat="false" ht="15" hidden="false" customHeight="false" outlineLevel="0" collapsed="false">
      <c r="A6" s="8" t="s">
        <v>81</v>
      </c>
      <c r="B6" s="9" t="n">
        <v>25</v>
      </c>
      <c r="J6" s="3" t="s">
        <v>81</v>
      </c>
      <c r="K6" s="0" t="n">
        <v>25</v>
      </c>
    </row>
    <row r="7" customFormat="false" ht="15" hidden="false" customHeight="false" outlineLevel="0" collapsed="false">
      <c r="A7" s="16" t="s">
        <v>82</v>
      </c>
      <c r="B7" s="17" t="n">
        <f aca="false">SUM(B3:B6)</f>
        <v>100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1.5" hidden="false" customHeight="true" outlineLevel="0" collapsed="false">
      <c r="A1" s="18" t="s">
        <v>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T2" s="0" t="s">
        <v>84</v>
      </c>
      <c r="U2" s="0" t="s">
        <v>85</v>
      </c>
      <c r="AD2" s="0" t="s">
        <v>84</v>
      </c>
      <c r="AE2" s="0" t="s">
        <v>85</v>
      </c>
      <c r="AX2" s="0" t="s">
        <v>5</v>
      </c>
      <c r="AY2" s="0" t="s">
        <v>9</v>
      </c>
      <c r="AZ2" s="0" t="s">
        <v>10</v>
      </c>
      <c r="BH2" s="0" t="s">
        <v>5</v>
      </c>
      <c r="BI2" s="0" t="s">
        <v>6</v>
      </c>
      <c r="BR2" s="0" t="s">
        <v>5</v>
      </c>
      <c r="BS2" s="0" t="s">
        <v>54</v>
      </c>
      <c r="BT2" s="0" t="s">
        <v>55</v>
      </c>
    </row>
    <row r="3" customFormat="false" ht="28.35" hidden="false" customHeight="false" outlineLevel="0" collapsed="false">
      <c r="T3" s="0" t="s">
        <v>1</v>
      </c>
      <c r="U3" s="0" t="n">
        <v>7</v>
      </c>
      <c r="AD3" s="0" t="s">
        <v>78</v>
      </c>
      <c r="AE3" s="0" t="n">
        <v>35</v>
      </c>
      <c r="AX3" s="0" t="s">
        <v>23</v>
      </c>
      <c r="AY3" s="0" t="n">
        <v>54</v>
      </c>
      <c r="AZ3" s="0" t="n">
        <v>60</v>
      </c>
      <c r="BH3" s="10" t="s">
        <v>86</v>
      </c>
      <c r="BI3" s="0" t="n">
        <v>8</v>
      </c>
      <c r="BR3" s="0" t="s">
        <v>48</v>
      </c>
      <c r="BS3" s="0" t="n">
        <v>96</v>
      </c>
      <c r="BT3" s="0" t="n">
        <v>95</v>
      </c>
    </row>
    <row r="4" customFormat="false" ht="28.35" hidden="false" customHeight="false" outlineLevel="0" collapsed="false">
      <c r="T4" s="0" t="s">
        <v>2</v>
      </c>
      <c r="U4" s="0" t="n">
        <v>3</v>
      </c>
      <c r="AD4" s="0" t="s">
        <v>79</v>
      </c>
      <c r="AE4" s="0" t="n">
        <v>20</v>
      </c>
      <c r="AX4" s="0" t="s">
        <v>14</v>
      </c>
      <c r="AY4" s="0" t="n">
        <v>2</v>
      </c>
      <c r="AZ4" s="0" t="n">
        <v>2</v>
      </c>
      <c r="BH4" s="10" t="s">
        <v>87</v>
      </c>
      <c r="BI4" s="0" t="n">
        <v>9</v>
      </c>
    </row>
    <row r="5" customFormat="false" ht="15" hidden="false" customHeight="false" outlineLevel="0" collapsed="false">
      <c r="T5" s="0" t="s">
        <v>3</v>
      </c>
      <c r="U5" s="0" t="n">
        <v>2</v>
      </c>
      <c r="AD5" s="0" t="s">
        <v>80</v>
      </c>
      <c r="AE5" s="0" t="n">
        <v>20</v>
      </c>
    </row>
    <row r="6" customFormat="false" ht="15" hidden="false" customHeight="false" outlineLevel="0" collapsed="false">
      <c r="T6" s="0" t="s">
        <v>4</v>
      </c>
      <c r="U6" s="0" t="n">
        <v>2</v>
      </c>
      <c r="AD6" s="0" t="s">
        <v>81</v>
      </c>
      <c r="AE6" s="0" t="n">
        <v>25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2026-02-20T12:38:26Z</dcterms:created>
  <dc:creator>openpyxl</dc:creator>
  <dc:description/>
  <dc:language>en-US</dc:language>
  <cp:lastModifiedBy/>
  <dcterms:modified xsi:type="dcterms:W3CDTF">2026-02-20T12:38:32Z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